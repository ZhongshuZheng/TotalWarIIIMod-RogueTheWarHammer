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590AAC52-8BB6-4529-ABA1-67DC5C9408FC}" xr6:coauthVersionLast="47" xr6:coauthVersionMax="47" xr10:uidLastSave="{00000000-0000-0000-0000-000000000000}"/>
  <bookViews>
    <workbookView xWindow="-108" yWindow="-108" windowWidth="30936" windowHeight="16776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2" l="1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10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F10" i="2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Q2" i="2"/>
  <c r="D10" i="2"/>
  <c r="D11" i="2" s="1"/>
  <c r="D12" i="2" s="1"/>
  <c r="D13" i="2" s="1"/>
  <c r="D14" i="2" s="1"/>
  <c r="E14" i="2" s="1"/>
  <c r="C10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D15" i="2"/>
  <c r="D16" i="2" s="1"/>
  <c r="D17" i="2" s="1"/>
  <c r="D18" i="2" s="1"/>
  <c r="D19" i="2" s="1"/>
  <c r="E19" i="2" s="1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29" i="2" l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20" i="2"/>
  <c r="D21" i="2" s="1"/>
  <c r="D22" i="2" s="1"/>
  <c r="D23" i="2" s="1"/>
  <c r="D24" i="2" s="1"/>
  <c r="E24" i="2" s="1"/>
  <c r="D18" i="1"/>
  <c r="D19" i="1" s="1"/>
  <c r="D20" i="1" s="1"/>
  <c r="D21" i="1" s="1"/>
  <c r="D22" i="1" s="1"/>
  <c r="E17" i="1"/>
  <c r="D25" i="2" l="1"/>
  <c r="D26" i="2" s="1"/>
  <c r="D27" i="2" s="1"/>
  <c r="D28" i="2" s="1"/>
  <c r="D29" i="2" s="1"/>
  <c r="E29" i="2" s="1"/>
  <c r="D23" i="1"/>
  <c r="D24" i="1" s="1"/>
  <c r="D25" i="1" s="1"/>
  <c r="D26" i="1" s="1"/>
  <c r="D27" i="1" s="1"/>
  <c r="E22" i="1"/>
  <c r="D30" i="2" l="1"/>
  <c r="D31" i="2" s="1"/>
  <c r="D32" i="2" s="1"/>
  <c r="D33" i="2" s="1"/>
  <c r="D34" i="2" s="1"/>
  <c r="E34" i="2" s="1"/>
  <c r="D28" i="1"/>
  <c r="D29" i="1" s="1"/>
  <c r="D30" i="1" s="1"/>
  <c r="D31" i="1" s="1"/>
  <c r="D32" i="1" s="1"/>
  <c r="E27" i="1"/>
  <c r="D35" i="2" l="1"/>
  <c r="D36" i="2" s="1"/>
  <c r="D37" i="2" s="1"/>
  <c r="D38" i="2" s="1"/>
  <c r="D39" i="2" s="1"/>
  <c r="E39" i="2" s="1"/>
  <c r="D33" i="1"/>
  <c r="D34" i="1" s="1"/>
  <c r="D35" i="1" s="1"/>
  <c r="D36" i="1" s="1"/>
  <c r="D37" i="1" s="1"/>
  <c r="E32" i="1"/>
  <c r="D40" i="2" l="1"/>
  <c r="D41" i="2" s="1"/>
  <c r="D42" i="2" s="1"/>
  <c r="D43" i="2" s="1"/>
  <c r="D44" i="2" s="1"/>
  <c r="D45" i="2" s="1"/>
  <c r="D46" i="2" s="1"/>
  <c r="D47" i="2" s="1"/>
  <c r="D38" i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<sst xmlns="http://schemas.openxmlformats.org/spreadsheetml/2006/main" count="51" uniqueCount="28">
  <si>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</si>
  <si>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</si>
  <si>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</si>
  <si>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</si>
  <si>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</si>
  <si>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</si>
  <si>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</si>
  <si>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</si>
  <si>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</si>
  <si>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</si>
  <si>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</si>
  <si>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</si>
  <si>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</si>
  <si>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</si>
  <si>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</si>
  <si>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</si>
  <si>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</si>
  <si>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</si>
  <si>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</si>
  <si>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</si>
  <si>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</si>
  <si>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</si>
  <si>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</si>
  <si>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</si>
  <si>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</si>
  <si>
    <t>玩家高分</t>
    <phoneticPr fontId="1" type="noConversion"/>
  </si>
  <si>
    <t>玩家初始分4500</t>
    <phoneticPr fontId="1" type="noConversion"/>
  </si>
  <si>
    <t>调权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</si>
</sst>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7"/>
  <sheetViews>
    <sheetView tabSelected="1" zoomScale="145" zoomScaleNormal="145" workbookViewId="0">
      <selection activeCell="J7" sqref="J7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26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4500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4300</v>
      </c>
      <c r="J2" s="1">
        <v>500</v>
      </c>
      <c r="K2" s="1">
        <v>850</v>
      </c>
      <c r="L2" s="1">
        <v>1100</v>
      </c>
      <c r="M2" s="1">
        <v>1200</v>
      </c>
      <c r="N2" s="1">
        <v>1200</v>
      </c>
      <c r="O2" s="1">
        <v>1200</v>
      </c>
      <c r="P2" s="1">
        <v>1400</v>
      </c>
      <c r="Q2" s="1">
        <f>I3</f>
        <v>1.4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  <c r="I3" s="1">
        <v>1.4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1550</v>
      </c>
      <c r="H5" s="1">
        <v>1600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  <c r="F9" s="1" t="s">
        <v>25</v>
      </c>
      <c r="H9" s="1" t="s">
        <v>27</v>
      </c>
    </row>
    <row r="10" spans="1:17" x14ac:dyDescent="0.25">
      <c r="A10" s="1">
        <v>1</v>
      </c>
      <c r="B10" s="1">
        <f>5</f>
        <v>5</v>
      </c>
      <c r="C10" s="1">
        <f>A2+B2</f>
        <v>5000</v>
      </c>
      <c r="D10" s="1">
        <f>I2+J2</f>
        <v>4800</v>
      </c>
      <c r="E10" s="4"/>
      <c r="F10" s="1">
        <f>A2+B4</f>
        <v>5200</v>
      </c>
      <c r="H10" s="1">
        <f>$I$2+0.8*(D10-$I$2)</f>
        <v>4700</v>
      </c>
      <c r="I10" s="1">
        <f>$I$2+1.25*(D10-$I$2)</f>
        <v>4925</v>
      </c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5300</v>
      </c>
      <c r="F11" s="1">
        <f>F10+B$4</f>
        <v>5900</v>
      </c>
      <c r="H11" s="1">
        <f t="shared" ref="H11:H44" si="1">$I$2+0.8*(D11-$I$2)</f>
        <v>5100</v>
      </c>
      <c r="I11" s="1">
        <f t="shared" ref="I11:I44" si="2">$I$2+1.25*(D11-$I$2)</f>
        <v>5550</v>
      </c>
    </row>
    <row r="12" spans="1:17" x14ac:dyDescent="0.25">
      <c r="A12" s="1">
        <v>3</v>
      </c>
      <c r="B12" s="1">
        <f t="shared" ref="B12:B25" si="3">B11+1</f>
        <v>7</v>
      </c>
      <c r="C12" s="1">
        <f t="shared" ref="C12:C14" si="4">C11+B$2</f>
        <v>6000</v>
      </c>
      <c r="D12" s="1">
        <f t="shared" ref="D12:D14" si="5">D11+J$2</f>
        <v>5800</v>
      </c>
      <c r="F12" s="1">
        <f t="shared" ref="F12:F14" si="6">F11+B$4</f>
        <v>6600</v>
      </c>
      <c r="H12" s="1">
        <f t="shared" si="1"/>
        <v>5500</v>
      </c>
      <c r="I12" s="1">
        <f t="shared" si="2"/>
        <v>6175</v>
      </c>
    </row>
    <row r="13" spans="1:17" x14ac:dyDescent="0.25">
      <c r="A13" s="1">
        <v>4</v>
      </c>
      <c r="B13" s="1">
        <f t="shared" si="3"/>
        <v>8</v>
      </c>
      <c r="C13" s="1">
        <f t="shared" si="4"/>
        <v>6500</v>
      </c>
      <c r="D13" s="1">
        <f t="shared" si="5"/>
        <v>6300</v>
      </c>
      <c r="F13" s="1">
        <f t="shared" si="6"/>
        <v>7300</v>
      </c>
      <c r="H13" s="1">
        <f t="shared" si="1"/>
        <v>5900</v>
      </c>
      <c r="I13" s="1">
        <f t="shared" si="2"/>
        <v>6800</v>
      </c>
    </row>
    <row r="14" spans="1:17" x14ac:dyDescent="0.25">
      <c r="A14" s="2">
        <v>5</v>
      </c>
      <c r="B14" s="1">
        <f t="shared" si="3"/>
        <v>9</v>
      </c>
      <c r="C14" s="1">
        <f t="shared" si="4"/>
        <v>7000</v>
      </c>
      <c r="D14" s="1">
        <f t="shared" si="5"/>
        <v>6800</v>
      </c>
      <c r="E14" s="1">
        <f>D14*$I$3</f>
        <v>9520</v>
      </c>
      <c r="F14" s="1">
        <f t="shared" si="6"/>
        <v>8000</v>
      </c>
      <c r="H14" s="1">
        <f t="shared" si="1"/>
        <v>6300</v>
      </c>
      <c r="I14" s="1">
        <f t="shared" si="2"/>
        <v>7425</v>
      </c>
    </row>
    <row r="15" spans="1:17" x14ac:dyDescent="0.25">
      <c r="A15" s="1">
        <v>6</v>
      </c>
      <c r="B15" s="1">
        <f t="shared" si="3"/>
        <v>10</v>
      </c>
      <c r="C15" s="1">
        <f>C14+C$2</f>
        <v>7650</v>
      </c>
      <c r="D15" s="1">
        <f>D14+K$2</f>
        <v>7650</v>
      </c>
      <c r="F15" s="1">
        <f>F14+C$4</f>
        <v>9000</v>
      </c>
      <c r="H15" s="1">
        <f t="shared" si="1"/>
        <v>6980</v>
      </c>
      <c r="I15" s="1">
        <f t="shared" si="2"/>
        <v>8487.5</v>
      </c>
    </row>
    <row r="16" spans="1:17" x14ac:dyDescent="0.25">
      <c r="A16" s="1">
        <v>7</v>
      </c>
      <c r="B16" s="1">
        <f t="shared" si="3"/>
        <v>11</v>
      </c>
      <c r="C16" s="1">
        <f t="shared" ref="C16:C19" si="7">C15+C$2</f>
        <v>8300</v>
      </c>
      <c r="D16" s="1">
        <f t="shared" ref="D16:D19" si="8">D15+K$2</f>
        <v>8500</v>
      </c>
      <c r="F16" s="1">
        <f t="shared" ref="F16:F19" si="9">F15+C$4</f>
        <v>10000</v>
      </c>
      <c r="H16" s="1">
        <f t="shared" si="1"/>
        <v>7660</v>
      </c>
      <c r="I16" s="1">
        <f t="shared" si="2"/>
        <v>9550</v>
      </c>
    </row>
    <row r="17" spans="1:9" x14ac:dyDescent="0.25">
      <c r="A17" s="1">
        <v>8</v>
      </c>
      <c r="B17" s="1">
        <f t="shared" si="3"/>
        <v>12</v>
      </c>
      <c r="C17" s="1">
        <f t="shared" si="7"/>
        <v>8950</v>
      </c>
      <c r="D17" s="1">
        <f t="shared" si="8"/>
        <v>9350</v>
      </c>
      <c r="F17" s="1">
        <f t="shared" si="9"/>
        <v>11000</v>
      </c>
      <c r="H17" s="1">
        <f t="shared" si="1"/>
        <v>8340</v>
      </c>
      <c r="I17" s="1">
        <f t="shared" si="2"/>
        <v>10612.5</v>
      </c>
    </row>
    <row r="18" spans="1:9" x14ac:dyDescent="0.25">
      <c r="A18" s="1">
        <v>9</v>
      </c>
      <c r="B18" s="1">
        <f t="shared" si="3"/>
        <v>13</v>
      </c>
      <c r="C18" s="1">
        <f t="shared" si="7"/>
        <v>9600</v>
      </c>
      <c r="D18" s="1">
        <f t="shared" si="8"/>
        <v>10200</v>
      </c>
      <c r="F18" s="1">
        <f t="shared" si="9"/>
        <v>12000</v>
      </c>
      <c r="H18" s="1">
        <f t="shared" si="1"/>
        <v>9020</v>
      </c>
      <c r="I18" s="1">
        <f t="shared" si="2"/>
        <v>11675</v>
      </c>
    </row>
    <row r="19" spans="1:9" x14ac:dyDescent="0.25">
      <c r="A19" s="2">
        <v>10</v>
      </c>
      <c r="B19" s="1">
        <f t="shared" si="3"/>
        <v>14</v>
      </c>
      <c r="C19" s="1">
        <f t="shared" si="7"/>
        <v>10250</v>
      </c>
      <c r="D19" s="1">
        <f t="shared" si="8"/>
        <v>11050</v>
      </c>
      <c r="E19" s="1">
        <f>D19*$I$3</f>
        <v>15469.999999999998</v>
      </c>
      <c r="F19" s="1">
        <f t="shared" si="9"/>
        <v>13000</v>
      </c>
      <c r="H19" s="1">
        <f t="shared" si="1"/>
        <v>9700</v>
      </c>
      <c r="I19" s="1">
        <f t="shared" si="2"/>
        <v>12737.5</v>
      </c>
    </row>
    <row r="20" spans="1:9" x14ac:dyDescent="0.25">
      <c r="A20" s="1">
        <v>11</v>
      </c>
      <c r="B20" s="1">
        <f t="shared" si="3"/>
        <v>15</v>
      </c>
      <c r="C20" s="1">
        <f>C19+D$2</f>
        <v>11200</v>
      </c>
      <c r="D20" s="1">
        <f>D19+L$2</f>
        <v>12150</v>
      </c>
      <c r="F20" s="1">
        <f>F19+D$4</f>
        <v>14200</v>
      </c>
      <c r="H20" s="1">
        <f t="shared" si="1"/>
        <v>10580</v>
      </c>
      <c r="I20" s="1">
        <f t="shared" si="2"/>
        <v>14112.5</v>
      </c>
    </row>
    <row r="21" spans="1:9" x14ac:dyDescent="0.25">
      <c r="A21" s="1">
        <v>12</v>
      </c>
      <c r="B21" s="1">
        <f>B20+1</f>
        <v>16</v>
      </c>
      <c r="C21" s="1">
        <f t="shared" ref="C21:C24" si="10">C20+D$2</f>
        <v>12150</v>
      </c>
      <c r="D21" s="1">
        <f t="shared" ref="D21:D24" si="11">D20+L$2</f>
        <v>13250</v>
      </c>
      <c r="F21" s="1">
        <f t="shared" ref="F21:F24" si="12">F20+D$4</f>
        <v>15400</v>
      </c>
      <c r="H21" s="1">
        <f t="shared" si="1"/>
        <v>11460</v>
      </c>
      <c r="I21" s="1">
        <f t="shared" si="2"/>
        <v>15487.5</v>
      </c>
    </row>
    <row r="22" spans="1:9" x14ac:dyDescent="0.25">
      <c r="A22" s="1">
        <v>13</v>
      </c>
      <c r="B22" s="1">
        <f t="shared" si="3"/>
        <v>17</v>
      </c>
      <c r="C22" s="1">
        <f t="shared" si="10"/>
        <v>13100</v>
      </c>
      <c r="D22" s="1">
        <f t="shared" si="11"/>
        <v>14350</v>
      </c>
      <c r="F22" s="1">
        <f t="shared" si="12"/>
        <v>16600</v>
      </c>
      <c r="H22" s="1">
        <f t="shared" si="1"/>
        <v>12340</v>
      </c>
      <c r="I22" s="1">
        <f t="shared" si="2"/>
        <v>16862.5</v>
      </c>
    </row>
    <row r="23" spans="1:9" x14ac:dyDescent="0.25">
      <c r="A23" s="1">
        <v>14</v>
      </c>
      <c r="B23" s="1">
        <f t="shared" si="3"/>
        <v>18</v>
      </c>
      <c r="C23" s="1">
        <f t="shared" si="10"/>
        <v>14050</v>
      </c>
      <c r="D23" s="1">
        <f t="shared" si="11"/>
        <v>15450</v>
      </c>
      <c r="F23" s="1">
        <f t="shared" si="12"/>
        <v>17800</v>
      </c>
      <c r="H23" s="1">
        <f t="shared" si="1"/>
        <v>13220</v>
      </c>
      <c r="I23" s="1">
        <f t="shared" si="2"/>
        <v>18237.5</v>
      </c>
    </row>
    <row r="24" spans="1:9" x14ac:dyDescent="0.25">
      <c r="A24" s="2">
        <v>15</v>
      </c>
      <c r="B24" s="1">
        <f t="shared" si="3"/>
        <v>19</v>
      </c>
      <c r="C24" s="1">
        <f t="shared" si="10"/>
        <v>15000</v>
      </c>
      <c r="D24" s="1">
        <f t="shared" si="11"/>
        <v>16550</v>
      </c>
      <c r="E24" s="1">
        <f>D24*$I$3</f>
        <v>23170</v>
      </c>
      <c r="F24" s="1">
        <f t="shared" si="12"/>
        <v>19000</v>
      </c>
      <c r="H24" s="1">
        <f t="shared" si="1"/>
        <v>14100</v>
      </c>
      <c r="I24" s="1">
        <f t="shared" si="2"/>
        <v>19612.5</v>
      </c>
    </row>
    <row r="25" spans="1:9" x14ac:dyDescent="0.25">
      <c r="A25" s="1">
        <v>16</v>
      </c>
      <c r="B25" s="1">
        <f t="shared" si="3"/>
        <v>20</v>
      </c>
      <c r="C25" s="1">
        <f>C24+E$2-B$2</f>
        <v>15750</v>
      </c>
      <c r="D25" s="1">
        <f>D24+M$2</f>
        <v>17750</v>
      </c>
      <c r="F25" s="1">
        <f>F24+E$4-B$4</f>
        <v>19800</v>
      </c>
      <c r="H25" s="1">
        <f t="shared" si="1"/>
        <v>15060</v>
      </c>
      <c r="I25" s="1">
        <f t="shared" si="2"/>
        <v>21112.5</v>
      </c>
    </row>
    <row r="26" spans="1:9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13">D25+M$2</f>
        <v>18950</v>
      </c>
      <c r="F26" s="1">
        <f t="shared" ref="F26:F29" si="14">F25+E$4-B$4</f>
        <v>20600</v>
      </c>
      <c r="H26" s="1">
        <f t="shared" si="1"/>
        <v>16020</v>
      </c>
      <c r="I26" s="1">
        <f t="shared" si="2"/>
        <v>22612.5</v>
      </c>
    </row>
    <row r="27" spans="1:9" x14ac:dyDescent="0.25">
      <c r="A27" s="1">
        <v>18</v>
      </c>
      <c r="B27" s="1">
        <f>20</f>
        <v>20</v>
      </c>
      <c r="C27" s="1">
        <f t="shared" ref="C27:C28" si="15">C26+E$2-B$2</f>
        <v>17250</v>
      </c>
      <c r="D27" s="1">
        <f t="shared" si="13"/>
        <v>20150</v>
      </c>
      <c r="F27" s="1">
        <f t="shared" si="14"/>
        <v>21400</v>
      </c>
      <c r="H27" s="1">
        <f t="shared" si="1"/>
        <v>16980</v>
      </c>
      <c r="I27" s="1">
        <f t="shared" si="2"/>
        <v>24112.5</v>
      </c>
    </row>
    <row r="28" spans="1:9" x14ac:dyDescent="0.25">
      <c r="A28" s="1">
        <v>19</v>
      </c>
      <c r="B28" s="1">
        <f>20</f>
        <v>20</v>
      </c>
      <c r="C28" s="1">
        <f t="shared" si="15"/>
        <v>18000</v>
      </c>
      <c r="D28" s="1">
        <f t="shared" si="13"/>
        <v>21350</v>
      </c>
      <c r="F28" s="1">
        <f t="shared" si="14"/>
        <v>22200</v>
      </c>
      <c r="H28" s="1">
        <f t="shared" si="1"/>
        <v>17940</v>
      </c>
      <c r="I28" s="1">
        <f t="shared" si="2"/>
        <v>25612.5</v>
      </c>
    </row>
    <row r="29" spans="1:9" x14ac:dyDescent="0.25">
      <c r="A29" s="2">
        <v>20</v>
      </c>
      <c r="B29" s="1">
        <f>20</f>
        <v>20</v>
      </c>
      <c r="C29" s="1">
        <f>C28+E$2-B$2</f>
        <v>18750</v>
      </c>
      <c r="D29" s="1">
        <f>D28+M$2</f>
        <v>22550</v>
      </c>
      <c r="E29" s="1">
        <f>D29*$I$3</f>
        <v>31569.999999999996</v>
      </c>
      <c r="F29" s="1">
        <f t="shared" si="14"/>
        <v>23000</v>
      </c>
      <c r="H29" s="1">
        <f t="shared" si="1"/>
        <v>18900</v>
      </c>
      <c r="I29" s="1">
        <f t="shared" si="2"/>
        <v>27112.5</v>
      </c>
    </row>
    <row r="30" spans="1:9" x14ac:dyDescent="0.25">
      <c r="A30" s="1">
        <v>21</v>
      </c>
      <c r="B30" s="1">
        <f>20</f>
        <v>20</v>
      </c>
      <c r="C30" s="1">
        <f>C29+F$2-C$2</f>
        <v>19700</v>
      </c>
      <c r="D30" s="1">
        <f t="shared" ref="D30:D33" si="16">D29+N$2</f>
        <v>23750</v>
      </c>
      <c r="F30" s="1">
        <f>F29+F$4-C$4</f>
        <v>24000</v>
      </c>
      <c r="H30" s="1">
        <f t="shared" si="1"/>
        <v>19860</v>
      </c>
      <c r="I30" s="1">
        <f t="shared" si="2"/>
        <v>28612.5</v>
      </c>
    </row>
    <row r="31" spans="1:9" x14ac:dyDescent="0.25">
      <c r="A31" s="1">
        <v>22</v>
      </c>
      <c r="B31" s="1">
        <f>20</f>
        <v>20</v>
      </c>
      <c r="C31" s="1">
        <f t="shared" ref="C31:C34" si="17">C30+F$2-C$2</f>
        <v>20650</v>
      </c>
      <c r="D31" s="1">
        <f t="shared" si="16"/>
        <v>24950</v>
      </c>
      <c r="F31" s="1">
        <f t="shared" ref="F31:F34" si="18">F30+F$4-C$4</f>
        <v>25000</v>
      </c>
      <c r="H31" s="1">
        <f t="shared" si="1"/>
        <v>20820</v>
      </c>
      <c r="I31" s="1">
        <f t="shared" si="2"/>
        <v>30112.5</v>
      </c>
    </row>
    <row r="32" spans="1:9" x14ac:dyDescent="0.25">
      <c r="A32" s="1">
        <v>23</v>
      </c>
      <c r="B32" s="1">
        <f>20</f>
        <v>20</v>
      </c>
      <c r="C32" s="1">
        <f t="shared" si="17"/>
        <v>21600</v>
      </c>
      <c r="D32" s="1">
        <f t="shared" si="16"/>
        <v>26150</v>
      </c>
      <c r="F32" s="1">
        <f t="shared" si="18"/>
        <v>26000</v>
      </c>
      <c r="H32" s="1">
        <f t="shared" si="1"/>
        <v>21780</v>
      </c>
      <c r="I32" s="1">
        <f t="shared" si="2"/>
        <v>31612.5</v>
      </c>
    </row>
    <row r="33" spans="1:9" x14ac:dyDescent="0.25">
      <c r="A33" s="1">
        <v>24</v>
      </c>
      <c r="B33" s="1">
        <f>20</f>
        <v>20</v>
      </c>
      <c r="C33" s="1">
        <f t="shared" si="17"/>
        <v>22550</v>
      </c>
      <c r="D33" s="1">
        <f t="shared" si="16"/>
        <v>27350</v>
      </c>
      <c r="F33" s="1">
        <f t="shared" si="18"/>
        <v>27000</v>
      </c>
      <c r="H33" s="1">
        <f t="shared" si="1"/>
        <v>22740</v>
      </c>
      <c r="I33" s="1">
        <f t="shared" si="2"/>
        <v>33112.5</v>
      </c>
    </row>
    <row r="34" spans="1:9" x14ac:dyDescent="0.25">
      <c r="A34" s="2">
        <v>25</v>
      </c>
      <c r="B34" s="1">
        <f>20</f>
        <v>20</v>
      </c>
      <c r="C34" s="1">
        <f t="shared" si="17"/>
        <v>23500</v>
      </c>
      <c r="D34" s="1">
        <f>D33+N$2</f>
        <v>28550</v>
      </c>
      <c r="E34" s="1">
        <f>D34*$I$3</f>
        <v>39970</v>
      </c>
      <c r="F34" s="1">
        <f t="shared" si="18"/>
        <v>28000</v>
      </c>
      <c r="H34" s="1">
        <f t="shared" si="1"/>
        <v>23700</v>
      </c>
      <c r="I34" s="1">
        <f t="shared" si="2"/>
        <v>34612.5</v>
      </c>
    </row>
    <row r="35" spans="1:9" x14ac:dyDescent="0.25">
      <c r="A35" s="1">
        <v>26</v>
      </c>
      <c r="B35" s="1">
        <f>20</f>
        <v>20</v>
      </c>
      <c r="C35" s="1">
        <f>C34+G$2-D$2</f>
        <v>24550</v>
      </c>
      <c r="D35" s="1">
        <f t="shared" ref="D35:D38" si="19">D34+O$2</f>
        <v>29750</v>
      </c>
      <c r="F35" s="1">
        <f>F34+G$4-D$4</f>
        <v>29300</v>
      </c>
      <c r="H35" s="1">
        <f t="shared" si="1"/>
        <v>24660</v>
      </c>
      <c r="I35" s="1">
        <f t="shared" si="2"/>
        <v>36112.5</v>
      </c>
    </row>
    <row r="36" spans="1:9" x14ac:dyDescent="0.25">
      <c r="A36" s="1">
        <v>27</v>
      </c>
      <c r="B36" s="1">
        <f>20</f>
        <v>20</v>
      </c>
      <c r="C36" s="1">
        <f t="shared" ref="C36:C39" si="20">C35+G$2-D$2</f>
        <v>25600</v>
      </c>
      <c r="D36" s="1">
        <f t="shared" si="19"/>
        <v>30950</v>
      </c>
      <c r="F36" s="1">
        <f t="shared" ref="F36:F39" si="21">F35+G$4-D$4</f>
        <v>30600</v>
      </c>
      <c r="H36" s="1">
        <f t="shared" si="1"/>
        <v>25620</v>
      </c>
      <c r="I36" s="1">
        <f t="shared" si="2"/>
        <v>37612.5</v>
      </c>
    </row>
    <row r="37" spans="1:9" x14ac:dyDescent="0.25">
      <c r="A37" s="1">
        <v>28</v>
      </c>
      <c r="B37" s="1">
        <f>20</f>
        <v>20</v>
      </c>
      <c r="C37" s="1">
        <f t="shared" si="20"/>
        <v>26650</v>
      </c>
      <c r="D37" s="1">
        <f t="shared" si="19"/>
        <v>32150</v>
      </c>
      <c r="F37" s="1">
        <f t="shared" si="21"/>
        <v>31900</v>
      </c>
      <c r="H37" s="1">
        <f t="shared" si="1"/>
        <v>26580</v>
      </c>
      <c r="I37" s="1">
        <f t="shared" si="2"/>
        <v>39112.5</v>
      </c>
    </row>
    <row r="38" spans="1:9" x14ac:dyDescent="0.25">
      <c r="A38" s="1">
        <v>29</v>
      </c>
      <c r="B38" s="1">
        <f>20</f>
        <v>20</v>
      </c>
      <c r="C38" s="1">
        <f t="shared" si="20"/>
        <v>27700</v>
      </c>
      <c r="D38" s="1">
        <f t="shared" si="19"/>
        <v>33350</v>
      </c>
      <c r="F38" s="1">
        <f t="shared" si="21"/>
        <v>33200</v>
      </c>
      <c r="H38" s="1">
        <f t="shared" si="1"/>
        <v>27540</v>
      </c>
      <c r="I38" s="1">
        <f t="shared" si="2"/>
        <v>40612.5</v>
      </c>
    </row>
    <row r="39" spans="1:9" x14ac:dyDescent="0.25">
      <c r="A39" s="2">
        <v>30</v>
      </c>
      <c r="B39" s="1">
        <f>20</f>
        <v>20</v>
      </c>
      <c r="C39" s="1">
        <f t="shared" si="20"/>
        <v>28750</v>
      </c>
      <c r="D39" s="1">
        <f>D38+O$2</f>
        <v>34550</v>
      </c>
      <c r="E39" s="1">
        <f>D39*$I$3</f>
        <v>48370</v>
      </c>
      <c r="F39" s="1">
        <f t="shared" si="21"/>
        <v>34500</v>
      </c>
      <c r="H39" s="1">
        <f t="shared" si="1"/>
        <v>28500</v>
      </c>
      <c r="I39" s="1">
        <f t="shared" si="2"/>
        <v>42112.5</v>
      </c>
    </row>
    <row r="40" spans="1:9" x14ac:dyDescent="0.25">
      <c r="A40" s="1">
        <v>31</v>
      </c>
      <c r="B40" s="1">
        <f>20</f>
        <v>20</v>
      </c>
      <c r="C40" s="1">
        <f>C39+H$2-E$2</f>
        <v>30000</v>
      </c>
      <c r="D40" s="1">
        <f t="shared" ref="D40:D47" si="22">D39+P$2</f>
        <v>35950</v>
      </c>
      <c r="F40" s="1">
        <f>F39+H$4-E$4</f>
        <v>36000</v>
      </c>
      <c r="H40" s="1">
        <f t="shared" si="1"/>
        <v>29620</v>
      </c>
      <c r="I40" s="1">
        <f t="shared" si="2"/>
        <v>43862.5</v>
      </c>
    </row>
    <row r="41" spans="1:9" x14ac:dyDescent="0.25">
      <c r="A41" s="1">
        <v>32</v>
      </c>
      <c r="B41" s="1">
        <f>20</f>
        <v>20</v>
      </c>
      <c r="C41" s="1">
        <f t="shared" ref="C41:C44" si="23">C40+H$2-E$2</f>
        <v>31250</v>
      </c>
      <c r="D41" s="1">
        <f t="shared" si="22"/>
        <v>37350</v>
      </c>
      <c r="F41" s="1">
        <f t="shared" ref="F41:F44" si="24">F40+H$4-E$4</f>
        <v>37500</v>
      </c>
      <c r="H41" s="1">
        <f t="shared" si="1"/>
        <v>30740</v>
      </c>
      <c r="I41" s="1">
        <f t="shared" si="2"/>
        <v>45612.5</v>
      </c>
    </row>
    <row r="42" spans="1:9" x14ac:dyDescent="0.25">
      <c r="A42" s="1">
        <v>33</v>
      </c>
      <c r="B42" s="1">
        <f>20</f>
        <v>20</v>
      </c>
      <c r="C42" s="1">
        <f t="shared" si="23"/>
        <v>32500</v>
      </c>
      <c r="D42" s="1">
        <f t="shared" si="22"/>
        <v>38750</v>
      </c>
      <c r="F42" s="1">
        <f t="shared" si="24"/>
        <v>39000</v>
      </c>
      <c r="H42" s="1">
        <f t="shared" si="1"/>
        <v>31860</v>
      </c>
      <c r="I42" s="1">
        <f t="shared" si="2"/>
        <v>47362.5</v>
      </c>
    </row>
    <row r="43" spans="1:9" x14ac:dyDescent="0.25">
      <c r="A43" s="1">
        <v>34</v>
      </c>
      <c r="B43" s="1">
        <f>20</f>
        <v>20</v>
      </c>
      <c r="C43" s="1">
        <f t="shared" si="23"/>
        <v>33750</v>
      </c>
      <c r="D43" s="1">
        <f t="shared" si="22"/>
        <v>40150</v>
      </c>
      <c r="F43" s="1">
        <f t="shared" si="24"/>
        <v>40500</v>
      </c>
      <c r="H43" s="1">
        <f t="shared" si="1"/>
        <v>32980</v>
      </c>
      <c r="I43" s="1">
        <f t="shared" si="2"/>
        <v>49112.5</v>
      </c>
    </row>
    <row r="44" spans="1:9" x14ac:dyDescent="0.25">
      <c r="A44" s="1">
        <v>35</v>
      </c>
      <c r="B44" s="1">
        <f>20</f>
        <v>20</v>
      </c>
      <c r="C44" s="1">
        <f t="shared" si="23"/>
        <v>35000</v>
      </c>
      <c r="D44" s="1">
        <f t="shared" si="22"/>
        <v>41550</v>
      </c>
      <c r="F44" s="1">
        <f t="shared" si="24"/>
        <v>42000</v>
      </c>
      <c r="H44" s="1">
        <f t="shared" si="1"/>
        <v>34100</v>
      </c>
      <c r="I44" s="1">
        <f t="shared" si="2"/>
        <v>50862.5</v>
      </c>
    </row>
    <row r="45" spans="1:9" x14ac:dyDescent="0.25">
      <c r="A45" s="1">
        <v>36</v>
      </c>
      <c r="D45" s="1">
        <f t="shared" si="22"/>
        <v>42950</v>
      </c>
    </row>
    <row r="46" spans="1:9" x14ac:dyDescent="0.25">
      <c r="A46" s="1">
        <v>37</v>
      </c>
      <c r="D46" s="1">
        <f t="shared" si="22"/>
        <v>44350</v>
      </c>
    </row>
    <row r="47" spans="1:9" x14ac:dyDescent="0.25">
      <c r="A47" s="1">
        <v>38</v>
      </c>
      <c r="D47" s="1">
        <f t="shared" si="22"/>
        <v>45750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2026-06-29T15:17:04Z</dcterms:modified>
</cp:coreProperties>
</file>