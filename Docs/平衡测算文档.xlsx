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arhummer III AdamWorkshop\MyMods\商队Rogue玩法Mod\TotalWarIIIMod-RogueTheWarHammer\Docs\"/>
    </mc:Choice>
  </mc:AlternateContent>
  <xr:revisionPtr revIDLastSave="0" documentId="13_ncr:1_{7D2A41E5-FADF-4B41-BE6F-DA69D6DB95BA}" xr6:coauthVersionLast="47" xr6:coauthVersionMax="47" xr10:uidLastSave="{00000000-0000-0000-0000-000000000000}"/>
  <bookViews>
    <workbookView xWindow="-108" yWindow="-108" windowWidth="30936" windowHeight="16776" tabRatio="537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I11" i="2"/>
  <c r="H12" i="2"/>
  <c r="I12" i="2"/>
  <c r="H13" i="2"/>
  <c r="I13" i="2"/>
  <c r="H14" i="2"/>
  <c r="I14" i="2" s="1"/>
  <c r="H15" i="2"/>
  <c r="I15" i="2"/>
  <c r="H16" i="2"/>
  <c r="I16" i="2"/>
  <c r="H17" i="2"/>
  <c r="I17" i="2"/>
  <c r="H18" i="2"/>
  <c r="I18" i="2" s="1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 s="1"/>
  <c r="H32" i="2"/>
  <c r="I32" i="2" s="1"/>
  <c r="H33" i="2"/>
  <c r="I33" i="2" s="1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I10" i="2"/>
  <c r="H10" i="2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Q2" i="2"/>
  <c r="D10" i="2"/>
  <c r="D11" i="2" s="1"/>
  <c r="D12" i="2" s="1"/>
  <c r="D13" i="2" s="1"/>
  <c r="D14" i="2" s="1"/>
  <c r="E14" i="2" s="1"/>
  <c r="C10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G2" i="2"/>
  <c r="F2" i="2"/>
  <c r="E2" i="2"/>
  <c r="D2" i="2"/>
  <c r="C2" i="2"/>
  <c r="B2" i="2"/>
  <c r="C8" i="1"/>
  <c r="C2" i="1"/>
  <c r="D2" i="1"/>
  <c r="E2" i="1"/>
  <c r="F2" i="1"/>
  <c r="G2" i="1"/>
  <c r="B2" i="1"/>
  <c r="D8" i="1"/>
  <c r="D9" i="1" s="1"/>
  <c r="D10" i="1" s="1"/>
  <c r="D11" i="1" s="1"/>
  <c r="D12" i="1" s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24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C11" i="2" l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D15" i="2"/>
  <c r="D13" i="1"/>
  <c r="D14" i="1" s="1"/>
  <c r="D15" i="1" s="1"/>
  <c r="D16" i="1" s="1"/>
  <c r="D17" i="1" s="1"/>
  <c r="E12" i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D16" i="2" l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D18" i="1"/>
  <c r="D19" i="1" s="1"/>
  <c r="D20" i="1" s="1"/>
  <c r="D21" i="1" s="1"/>
  <c r="D22" i="1" s="1"/>
  <c r="E17" i="1"/>
  <c r="D17" i="2" l="1"/>
  <c r="D23" i="1"/>
  <c r="D24" i="1" s="1"/>
  <c r="D25" i="1" s="1"/>
  <c r="D26" i="1" s="1"/>
  <c r="D27" i="1" s="1"/>
  <c r="E22" i="1"/>
  <c r="D18" i="2" l="1"/>
  <c r="D28" i="1"/>
  <c r="D29" i="1" s="1"/>
  <c r="D30" i="1" s="1"/>
  <c r="D31" i="1" s="1"/>
  <c r="D32" i="1" s="1"/>
  <c r="E27" i="1"/>
  <c r="D19" i="2" l="1"/>
  <c r="D33" i="1"/>
  <c r="D34" i="1" s="1"/>
  <c r="D35" i="1" s="1"/>
  <c r="D36" i="1" s="1"/>
  <c r="D37" i="1" s="1"/>
  <c r="E32" i="1"/>
  <c r="E19" i="2" l="1"/>
  <c r="D20" i="2"/>
  <c r="D38" i="1"/>
  <c r="D39" i="1" s="1"/>
  <c r="D40" i="1" s="1"/>
  <c r="D41" i="1" s="1"/>
  <c r="D42" i="1" s="1"/>
  <c r="E37" i="1"/>
  <c r="D21" i="2" l="1"/>
  <c r="D22" i="2" l="1"/>
  <c r="D23" i="2" l="1"/>
  <c r="D24" i="2" l="1"/>
  <c r="E24" i="2" l="1"/>
  <c r="D25" i="2"/>
  <c r="D26" i="2" l="1"/>
  <c r="D27" i="2" l="1"/>
  <c r="D28" i="2" l="1"/>
  <c r="D29" i="2" l="1"/>
  <c r="E29" i="2" l="1"/>
  <c r="D30" i="2"/>
  <c r="D31" i="2" l="1"/>
  <c r="D32" i="2" l="1"/>
  <c r="D33" i="2" l="1"/>
  <c r="D34" i="2" l="1"/>
  <c r="E34" i="2" l="1"/>
  <c r="D35" i="2"/>
  <c r="D36" i="2" l="1"/>
  <c r="D37" i="2" l="1"/>
  <c r="D38" i="2" l="1"/>
  <c r="D39" i="2" l="1"/>
  <c r="E39" i="2" l="1"/>
  <c r="D40" i="2"/>
  <c r="D41" i="2" l="1"/>
  <c r="D42" i="2" l="1"/>
  <c r="D43" i="2" l="1"/>
  <c r="D44" i="2" l="1"/>
  <c r="D45" i="2" l="1"/>
  <c r="D46" i="2" s="1"/>
  <c r="D47" i="2" s="1"/>
</calcChain>
</file>

<file path=xl/sharedStrings.xml><?xml version="1.0" encoding="utf-8"?>
<sst xmlns="http://schemas.openxmlformats.org/spreadsheetml/2006/main" count="51" uniqueCount="28">
  <si>
    <t>玩家初始分</t>
    <phoneticPr fontId="1" type="noConversion"/>
  </si>
  <si>
    <t>敌人初始分</t>
    <phoneticPr fontId="1" type="noConversion"/>
  </si>
  <si>
    <t>轮次</t>
    <phoneticPr fontId="1" type="noConversion"/>
  </si>
  <si>
    <t>玩家总分</t>
    <phoneticPr fontId="1" type="noConversion"/>
  </si>
  <si>
    <t>玩家单位</t>
    <phoneticPr fontId="1" type="noConversion"/>
  </si>
  <si>
    <t>敌人总分</t>
    <phoneticPr fontId="1" type="noConversion"/>
  </si>
  <si>
    <t>低值</t>
    <phoneticPr fontId="1" type="noConversion"/>
  </si>
  <si>
    <t>0~5轮奖励</t>
    <phoneticPr fontId="1" type="noConversion"/>
  </si>
  <si>
    <t>5~10轮奖励</t>
    <phoneticPr fontId="1" type="noConversion"/>
  </si>
  <si>
    <t>10~15轮奖励</t>
    <phoneticPr fontId="1" type="noConversion"/>
  </si>
  <si>
    <t>15~20轮奖励</t>
    <phoneticPr fontId="1" type="noConversion"/>
  </si>
  <si>
    <t>20~25轮奖励</t>
    <phoneticPr fontId="1" type="noConversion"/>
  </si>
  <si>
    <t>25~30轮奖励</t>
    <phoneticPr fontId="1" type="noConversion"/>
  </si>
  <si>
    <t>30~轮奖励</t>
    <phoneticPr fontId="1" type="noConversion"/>
  </si>
  <si>
    <t>高值</t>
  </si>
  <si>
    <t>0~5轮敌人分数增长</t>
    <phoneticPr fontId="1" type="noConversion"/>
  </si>
  <si>
    <t>5~10轮敌人分数增长</t>
    <phoneticPr fontId="1" type="noConversion"/>
  </si>
  <si>
    <t>10~15轮敌人分数增长</t>
    <phoneticPr fontId="1" type="noConversion"/>
  </si>
  <si>
    <t>15~20轮敌人分数增长</t>
    <phoneticPr fontId="1" type="noConversion"/>
  </si>
  <si>
    <t>20~25轮敌人分数增长</t>
    <phoneticPr fontId="1" type="noConversion"/>
  </si>
  <si>
    <t>25~30轮敌人分数增长</t>
    <phoneticPr fontId="1" type="noConversion"/>
  </si>
  <si>
    <t>30~轮敌人分数增长</t>
    <phoneticPr fontId="1" type="noConversion"/>
  </si>
  <si>
    <t>精英敌人加成</t>
    <phoneticPr fontId="1" type="noConversion"/>
  </si>
  <si>
    <t>敌人总分-精英</t>
    <phoneticPr fontId="1" type="noConversion"/>
  </si>
  <si>
    <t>x2点位</t>
    <phoneticPr fontId="1" type="noConversion"/>
  </si>
  <si>
    <t>玩家高分</t>
    <phoneticPr fontId="1" type="noConversion"/>
  </si>
  <si>
    <t>玩家初始分4500</t>
    <phoneticPr fontId="1" type="noConversion"/>
  </si>
  <si>
    <t>拆分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</si>
</sst>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 tint="4.9989318521683403E-2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zoomScale="145" zoomScaleNormal="145" workbookViewId="0">
      <selection sqref="A1:XFD1048576"/>
    </sheetView>
  </sheetViews>
  <sheetFormatPr defaultRowHeight="13.8" x14ac:dyDescent="0.25"/>
  <cols>
    <col min="1" max="2" width="8.88671875" style="1"/>
    <col min="3" max="3" width="11.6640625" style="1" customWidth="1"/>
    <col min="4" max="4" width="8.88671875" style="1"/>
    <col min="5" max="5" width="9.88671875" style="1" bestFit="1" customWidth="1"/>
    <col min="6" max="16384" width="8.88671875" style="1"/>
  </cols>
  <sheetData>
    <row r="1" spans="1:17" ht="64.2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25">
      <c r="A2" s="1">
        <v>5000</v>
      </c>
      <c r="B2" s="1">
        <f>(B3+B4)/2</f>
        <v>500</v>
      </c>
      <c r="C2" s="1">
        <f t="shared" ref="C2:G2" si="0">(C3+C4)/2</f>
        <v>600</v>
      </c>
      <c r="D2" s="1">
        <f t="shared" si="0"/>
        <v>950</v>
      </c>
      <c r="E2" s="1">
        <f t="shared" si="0"/>
        <v>1200</v>
      </c>
      <c r="F2" s="1">
        <f t="shared" si="0"/>
        <v>1600</v>
      </c>
      <c r="G2" s="1">
        <f t="shared" si="0"/>
        <v>2000</v>
      </c>
      <c r="H2" s="1">
        <v>2500</v>
      </c>
      <c r="I2" s="1">
        <v>4500</v>
      </c>
      <c r="J2" s="1">
        <v>500</v>
      </c>
      <c r="K2" s="1">
        <v>600</v>
      </c>
      <c r="L2" s="1">
        <v>950</v>
      </c>
      <c r="M2" s="1">
        <v>950</v>
      </c>
      <c r="N2" s="1">
        <v>1000</v>
      </c>
      <c r="O2" s="1">
        <v>1100</v>
      </c>
      <c r="P2" s="1">
        <v>1500</v>
      </c>
      <c r="Q2" s="1">
        <v>1.25</v>
      </c>
    </row>
    <row r="3" spans="1:17" x14ac:dyDescent="0.25">
      <c r="A3" s="3" t="s">
        <v>6</v>
      </c>
      <c r="B3" s="1">
        <v>300</v>
      </c>
      <c r="C3" s="1">
        <v>300</v>
      </c>
      <c r="D3" s="1">
        <v>700</v>
      </c>
      <c r="E3" s="1">
        <v>900</v>
      </c>
      <c r="F3" s="1">
        <v>1200</v>
      </c>
      <c r="G3" s="1">
        <v>1500</v>
      </c>
      <c r="H3" s="1">
        <v>1500</v>
      </c>
    </row>
    <row r="4" spans="1:17" x14ac:dyDescent="0.25">
      <c r="A4" s="1" t="s">
        <v>14</v>
      </c>
      <c r="B4" s="1">
        <v>700</v>
      </c>
      <c r="C4" s="1">
        <v>900</v>
      </c>
      <c r="D4" s="1">
        <v>1200</v>
      </c>
      <c r="E4" s="1">
        <v>1500</v>
      </c>
      <c r="F4" s="1">
        <v>2000</v>
      </c>
      <c r="G4" s="1">
        <v>2500</v>
      </c>
      <c r="H4" s="1">
        <v>5000</v>
      </c>
    </row>
    <row r="7" spans="1:17" ht="30.6" customHeight="1" x14ac:dyDescent="0.25">
      <c r="A7" s="1" t="s">
        <v>2</v>
      </c>
      <c r="B7" s="1" t="s">
        <v>4</v>
      </c>
      <c r="C7" s="1" t="s">
        <v>3</v>
      </c>
      <c r="D7" s="1" t="s">
        <v>5</v>
      </c>
      <c r="E7" s="1" t="s">
        <v>23</v>
      </c>
    </row>
    <row r="8" spans="1:17" x14ac:dyDescent="0.25">
      <c r="A8" s="1">
        <v>1</v>
      </c>
      <c r="B8" s="1">
        <f>5</f>
        <v>5</v>
      </c>
      <c r="C8" s="1">
        <f>A2</f>
        <v>5000</v>
      </c>
      <c r="D8" s="1">
        <f>I2</f>
        <v>4500</v>
      </c>
      <c r="E8" s="4"/>
    </row>
    <row r="9" spans="1:17" x14ac:dyDescent="0.25">
      <c r="A9" s="1">
        <v>2</v>
      </c>
      <c r="B9" s="1">
        <f>B8+1</f>
        <v>6</v>
      </c>
      <c r="C9" s="1">
        <f>C8+B$2</f>
        <v>5500</v>
      </c>
      <c r="D9" s="1">
        <f>D8+J$2</f>
        <v>5000</v>
      </c>
    </row>
    <row r="10" spans="1:17" x14ac:dyDescent="0.25">
      <c r="A10" s="1">
        <v>3</v>
      </c>
      <c r="B10" s="1">
        <f t="shared" ref="B10:B23" si="1">B9+1</f>
        <v>7</v>
      </c>
      <c r="C10" s="1">
        <f t="shared" ref="C10:C12" si="2">C9+B$2</f>
        <v>6000</v>
      </c>
      <c r="D10" s="1">
        <f t="shared" ref="D10:D12" si="3">D9+J$2</f>
        <v>5500</v>
      </c>
    </row>
    <row r="11" spans="1:17" x14ac:dyDescent="0.25">
      <c r="A11" s="1">
        <v>4</v>
      </c>
      <c r="B11" s="1">
        <f t="shared" si="1"/>
        <v>8</v>
      </c>
      <c r="C11" s="1">
        <f t="shared" si="2"/>
        <v>6500</v>
      </c>
      <c r="D11" s="1">
        <f t="shared" si="3"/>
        <v>6000</v>
      </c>
    </row>
    <row r="12" spans="1:17" x14ac:dyDescent="0.25">
      <c r="A12" s="2">
        <v>5</v>
      </c>
      <c r="B12" s="1">
        <f t="shared" si="1"/>
        <v>9</v>
      </c>
      <c r="C12" s="1">
        <f t="shared" si="2"/>
        <v>7000</v>
      </c>
      <c r="D12" s="1">
        <f t="shared" si="3"/>
        <v>6500</v>
      </c>
      <c r="E12" s="1">
        <f>D12*1.25</f>
        <v>8125</v>
      </c>
    </row>
    <row r="13" spans="1:17" x14ac:dyDescent="0.25">
      <c r="A13" s="1">
        <v>6</v>
      </c>
      <c r="B13" s="1">
        <f t="shared" si="1"/>
        <v>10</v>
      </c>
      <c r="C13" s="1">
        <f>C12+C$2</f>
        <v>7600</v>
      </c>
      <c r="D13" s="1">
        <f>D12+K$2</f>
        <v>7100</v>
      </c>
    </row>
    <row r="14" spans="1:17" x14ac:dyDescent="0.25">
      <c r="A14" s="1">
        <v>7</v>
      </c>
      <c r="B14" s="1">
        <f t="shared" si="1"/>
        <v>11</v>
      </c>
      <c r="C14" s="1">
        <f t="shared" ref="C14:C17" si="4">C13+C$2</f>
        <v>8200</v>
      </c>
      <c r="D14" s="1">
        <f t="shared" ref="D14:D17" si="5">D13+K$2</f>
        <v>7700</v>
      </c>
    </row>
    <row r="15" spans="1:17" x14ac:dyDescent="0.25">
      <c r="A15" s="1">
        <v>8</v>
      </c>
      <c r="B15" s="1">
        <f t="shared" si="1"/>
        <v>12</v>
      </c>
      <c r="C15" s="1">
        <f t="shared" si="4"/>
        <v>8800</v>
      </c>
      <c r="D15" s="1">
        <f t="shared" si="5"/>
        <v>8300</v>
      </c>
    </row>
    <row r="16" spans="1:17" x14ac:dyDescent="0.25">
      <c r="A16" s="1">
        <v>9</v>
      </c>
      <c r="B16" s="1">
        <f t="shared" si="1"/>
        <v>13</v>
      </c>
      <c r="C16" s="1">
        <f t="shared" si="4"/>
        <v>9400</v>
      </c>
      <c r="D16" s="1">
        <f t="shared" si="5"/>
        <v>8900</v>
      </c>
    </row>
    <row r="17" spans="1:5" x14ac:dyDescent="0.25">
      <c r="A17" s="2">
        <v>10</v>
      </c>
      <c r="B17" s="1">
        <f t="shared" si="1"/>
        <v>14</v>
      </c>
      <c r="C17" s="1">
        <f t="shared" si="4"/>
        <v>10000</v>
      </c>
      <c r="D17" s="1">
        <f t="shared" si="5"/>
        <v>9500</v>
      </c>
      <c r="E17" s="1">
        <f>D17*1.25</f>
        <v>11875</v>
      </c>
    </row>
    <row r="18" spans="1:5" x14ac:dyDescent="0.25">
      <c r="A18" s="1">
        <v>11</v>
      </c>
      <c r="B18" s="1">
        <f t="shared" si="1"/>
        <v>15</v>
      </c>
      <c r="C18" s="1">
        <f>C17+D$2</f>
        <v>10950</v>
      </c>
      <c r="D18" s="1">
        <f>D17+L$2</f>
        <v>10450</v>
      </c>
    </row>
    <row r="19" spans="1:5" x14ac:dyDescent="0.25">
      <c r="A19" s="1">
        <v>12</v>
      </c>
      <c r="B19" s="1">
        <f>B18+1</f>
        <v>16</v>
      </c>
      <c r="C19" s="1">
        <f t="shared" ref="C19:C22" si="6">C18+D$2</f>
        <v>11900</v>
      </c>
      <c r="D19" s="1">
        <f t="shared" ref="D19:D22" si="7">D18+L$2</f>
        <v>11400</v>
      </c>
    </row>
    <row r="20" spans="1:5" x14ac:dyDescent="0.25">
      <c r="A20" s="1">
        <v>13</v>
      </c>
      <c r="B20" s="1">
        <f t="shared" si="1"/>
        <v>17</v>
      </c>
      <c r="C20" s="1">
        <f t="shared" si="6"/>
        <v>12850</v>
      </c>
      <c r="D20" s="1">
        <f t="shared" si="7"/>
        <v>12350</v>
      </c>
    </row>
    <row r="21" spans="1:5" x14ac:dyDescent="0.25">
      <c r="A21" s="1">
        <v>14</v>
      </c>
      <c r="B21" s="1">
        <f t="shared" si="1"/>
        <v>18</v>
      </c>
      <c r="C21" s="1">
        <f t="shared" si="6"/>
        <v>13800</v>
      </c>
      <c r="D21" s="1">
        <f t="shared" si="7"/>
        <v>13300</v>
      </c>
    </row>
    <row r="22" spans="1:5" x14ac:dyDescent="0.25">
      <c r="A22" s="2">
        <v>15</v>
      </c>
      <c r="B22" s="1">
        <f t="shared" si="1"/>
        <v>19</v>
      </c>
      <c r="C22" s="1">
        <f t="shared" si="6"/>
        <v>14750</v>
      </c>
      <c r="D22" s="1">
        <f t="shared" si="7"/>
        <v>14250</v>
      </c>
      <c r="E22" s="1">
        <f>D22*1.25</f>
        <v>17812.5</v>
      </c>
    </row>
    <row r="23" spans="1:5" x14ac:dyDescent="0.25">
      <c r="A23" s="1">
        <v>16</v>
      </c>
      <c r="B23" s="1">
        <f t="shared" si="1"/>
        <v>20</v>
      </c>
      <c r="C23" s="1">
        <f>C22+E$2-B$2</f>
        <v>15450</v>
      </c>
      <c r="D23" s="1">
        <f>D22+M$2</f>
        <v>15200</v>
      </c>
    </row>
    <row r="24" spans="1:5" x14ac:dyDescent="0.25">
      <c r="A24" s="1">
        <v>17</v>
      </c>
      <c r="B24" s="1">
        <f>20</f>
        <v>20</v>
      </c>
      <c r="C24" s="1">
        <f>C23+E$2-B$2</f>
        <v>16150</v>
      </c>
      <c r="D24" s="1">
        <f t="shared" ref="D24:D26" si="8">D23+M$2</f>
        <v>16150</v>
      </c>
    </row>
    <row r="25" spans="1:5" x14ac:dyDescent="0.25">
      <c r="A25" s="1">
        <v>18</v>
      </c>
      <c r="B25" s="1">
        <f>20</f>
        <v>20</v>
      </c>
      <c r="C25" s="1">
        <f t="shared" ref="C25:C26" si="9">C24+E$2-B$2</f>
        <v>16850</v>
      </c>
      <c r="D25" s="1">
        <f t="shared" si="8"/>
        <v>17100</v>
      </c>
    </row>
    <row r="26" spans="1:5" x14ac:dyDescent="0.25">
      <c r="A26" s="1">
        <v>19</v>
      </c>
      <c r="B26" s="1">
        <f>20</f>
        <v>20</v>
      </c>
      <c r="C26" s="1">
        <f t="shared" si="9"/>
        <v>17550</v>
      </c>
      <c r="D26" s="1">
        <f t="shared" si="8"/>
        <v>18050</v>
      </c>
    </row>
    <row r="27" spans="1:5" x14ac:dyDescent="0.25">
      <c r="A27" s="2">
        <v>20</v>
      </c>
      <c r="B27" s="1">
        <f>20</f>
        <v>20</v>
      </c>
      <c r="C27" s="1">
        <f>C26+F$2-B$2</f>
        <v>18650</v>
      </c>
      <c r="D27" s="1">
        <f>D26+N$2</f>
        <v>19050</v>
      </c>
      <c r="E27" s="1">
        <f>D27*1.25</f>
        <v>23812.5</v>
      </c>
    </row>
    <row r="28" spans="1:5" x14ac:dyDescent="0.25">
      <c r="A28" s="1">
        <v>21</v>
      </c>
      <c r="B28" s="1">
        <f>20</f>
        <v>20</v>
      </c>
      <c r="C28" s="1">
        <f>C27+F$2-C$2</f>
        <v>19650</v>
      </c>
      <c r="D28" s="1">
        <f t="shared" ref="D28:D31" si="10">D27+N$2</f>
        <v>20050</v>
      </c>
    </row>
    <row r="29" spans="1:5" x14ac:dyDescent="0.25">
      <c r="A29" s="1">
        <v>22</v>
      </c>
      <c r="B29" s="1">
        <f>20</f>
        <v>20</v>
      </c>
      <c r="C29" s="1">
        <f t="shared" ref="C29:C32" si="11">C28+E$2-C$2</f>
        <v>20250</v>
      </c>
      <c r="D29" s="1">
        <f t="shared" si="10"/>
        <v>21050</v>
      </c>
    </row>
    <row r="30" spans="1:5" x14ac:dyDescent="0.25">
      <c r="A30" s="1">
        <v>23</v>
      </c>
      <c r="B30" s="1">
        <f>20</f>
        <v>20</v>
      </c>
      <c r="C30" s="1">
        <f t="shared" si="11"/>
        <v>20850</v>
      </c>
      <c r="D30" s="1">
        <f t="shared" si="10"/>
        <v>22050</v>
      </c>
    </row>
    <row r="31" spans="1:5" x14ac:dyDescent="0.25">
      <c r="A31" s="1">
        <v>24</v>
      </c>
      <c r="B31" s="1">
        <f>20</f>
        <v>20</v>
      </c>
      <c r="C31" s="1">
        <f t="shared" si="11"/>
        <v>21450</v>
      </c>
      <c r="D31" s="1">
        <f t="shared" si="10"/>
        <v>23050</v>
      </c>
    </row>
    <row r="32" spans="1:5" x14ac:dyDescent="0.25">
      <c r="A32" s="2">
        <v>25</v>
      </c>
      <c r="B32" s="1">
        <f>20</f>
        <v>20</v>
      </c>
      <c r="C32" s="1">
        <f t="shared" si="11"/>
        <v>22050</v>
      </c>
      <c r="D32" s="1">
        <f>D31+O$2</f>
        <v>24150</v>
      </c>
      <c r="E32" s="1">
        <f>D32*1.25</f>
        <v>30187.5</v>
      </c>
    </row>
    <row r="33" spans="1:5" x14ac:dyDescent="0.25">
      <c r="A33" s="1">
        <v>26</v>
      </c>
      <c r="B33" s="1">
        <f>20</f>
        <v>20</v>
      </c>
      <c r="C33" s="1">
        <f>C32+G$2-C$2</f>
        <v>23450</v>
      </c>
      <c r="D33" s="1">
        <f t="shared" ref="D33:D36" si="12">D32+O$2</f>
        <v>25250</v>
      </c>
    </row>
    <row r="34" spans="1:5" x14ac:dyDescent="0.25">
      <c r="A34" s="1">
        <v>27</v>
      </c>
      <c r="B34" s="1">
        <f>20</f>
        <v>20</v>
      </c>
      <c r="C34" s="1">
        <f t="shared" ref="C34:C37" si="13">C33+G$2-C$2</f>
        <v>24850</v>
      </c>
      <c r="D34" s="1">
        <f t="shared" si="12"/>
        <v>26350</v>
      </c>
    </row>
    <row r="35" spans="1:5" x14ac:dyDescent="0.25">
      <c r="A35" s="1">
        <v>28</v>
      </c>
      <c r="B35" s="1">
        <f>20</f>
        <v>20</v>
      </c>
      <c r="C35" s="1">
        <f t="shared" si="13"/>
        <v>26250</v>
      </c>
      <c r="D35" s="1">
        <f t="shared" si="12"/>
        <v>27450</v>
      </c>
    </row>
    <row r="36" spans="1:5" x14ac:dyDescent="0.25">
      <c r="A36" s="1">
        <v>29</v>
      </c>
      <c r="B36" s="1">
        <f>20</f>
        <v>20</v>
      </c>
      <c r="C36" s="1">
        <f t="shared" si="13"/>
        <v>27650</v>
      </c>
      <c r="D36" s="1">
        <f t="shared" si="12"/>
        <v>28550</v>
      </c>
    </row>
    <row r="37" spans="1:5" x14ac:dyDescent="0.25">
      <c r="A37" s="2">
        <v>30</v>
      </c>
      <c r="B37" s="1">
        <f>20</f>
        <v>20</v>
      </c>
      <c r="C37" s="1">
        <f t="shared" si="13"/>
        <v>29050</v>
      </c>
      <c r="D37" s="1">
        <f>D36+P$2</f>
        <v>30050</v>
      </c>
      <c r="E37" s="1">
        <f>D37*1.25</f>
        <v>37562.5</v>
      </c>
    </row>
    <row r="38" spans="1:5" x14ac:dyDescent="0.25">
      <c r="A38" s="1">
        <v>31</v>
      </c>
      <c r="B38" s="1">
        <f>20</f>
        <v>20</v>
      </c>
      <c r="C38" s="1">
        <f>C37+H$2-D$2</f>
        <v>30600</v>
      </c>
      <c r="D38" s="1">
        <f t="shared" ref="D38:D42" si="14">D37+P$2</f>
        <v>31550</v>
      </c>
    </row>
    <row r="39" spans="1:5" x14ac:dyDescent="0.25">
      <c r="A39" s="1">
        <v>32</v>
      </c>
      <c r="B39" s="1">
        <f>20</f>
        <v>20</v>
      </c>
      <c r="C39" s="1">
        <f t="shared" ref="C39:C42" si="15">C38+H$2-D$2</f>
        <v>32150</v>
      </c>
      <c r="D39" s="1">
        <f t="shared" si="14"/>
        <v>33050</v>
      </c>
    </row>
    <row r="40" spans="1:5" x14ac:dyDescent="0.25">
      <c r="A40" s="1">
        <v>33</v>
      </c>
      <c r="B40" s="1">
        <f>20</f>
        <v>20</v>
      </c>
      <c r="C40" s="1">
        <f t="shared" si="15"/>
        <v>33700</v>
      </c>
      <c r="D40" s="1">
        <f t="shared" si="14"/>
        <v>34550</v>
      </c>
    </row>
    <row r="41" spans="1:5" x14ac:dyDescent="0.25">
      <c r="A41" s="1">
        <v>34</v>
      </c>
      <c r="B41" s="1">
        <f>20</f>
        <v>20</v>
      </c>
      <c r="C41" s="1">
        <f t="shared" si="15"/>
        <v>35250</v>
      </c>
      <c r="D41" s="1">
        <f t="shared" si="14"/>
        <v>36050</v>
      </c>
    </row>
    <row r="42" spans="1:5" x14ac:dyDescent="0.25">
      <c r="A42" s="1">
        <v>35</v>
      </c>
      <c r="B42" s="1">
        <f>20</f>
        <v>20</v>
      </c>
      <c r="C42" s="1">
        <f t="shared" si="15"/>
        <v>36800</v>
      </c>
      <c r="D42" s="1">
        <f t="shared" si="14"/>
        <v>37550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4D0A-3569-4D64-9EA4-6DBEB5A45CA9}">
  <dimension ref="A1:Q47"/>
  <sheetViews>
    <sheetView tabSelected="1" topLeftCell="A12" zoomScale="145" zoomScaleNormal="145" workbookViewId="0">
      <selection activeCell="J27" sqref="J27"/>
    </sheetView>
  </sheetViews>
  <sheetFormatPr defaultRowHeight="13.8" x14ac:dyDescent="0.25"/>
  <cols>
    <col min="1" max="2" width="8.88671875" style="1"/>
    <col min="3" max="3" width="11.6640625" style="1" customWidth="1"/>
    <col min="4" max="4" width="8.88671875" style="1"/>
    <col min="5" max="5" width="9.88671875" style="1" bestFit="1" customWidth="1"/>
    <col min="6" max="16384" width="8.88671875" style="1"/>
  </cols>
  <sheetData>
    <row r="1" spans="1:17" ht="64.2" customHeight="1" x14ac:dyDescent="0.25">
      <c r="A1" s="1" t="s">
        <v>26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25">
      <c r="A2" s="1">
        <v>4500</v>
      </c>
      <c r="B2" s="1">
        <f>(B3+B4)/2</f>
        <v>500</v>
      </c>
      <c r="C2" s="1">
        <f t="shared" ref="C2:G2" si="0">(C3+C4)/2</f>
        <v>650</v>
      </c>
      <c r="D2" s="1">
        <f t="shared" si="0"/>
        <v>950</v>
      </c>
      <c r="E2" s="1">
        <f t="shared" si="0"/>
        <v>1250</v>
      </c>
      <c r="F2" s="1">
        <f t="shared" si="0"/>
        <v>1600</v>
      </c>
      <c r="G2" s="1">
        <f t="shared" si="0"/>
        <v>2000</v>
      </c>
      <c r="H2" s="1">
        <v>2500</v>
      </c>
      <c r="I2" s="1">
        <v>4500</v>
      </c>
      <c r="J2" s="1">
        <v>500</v>
      </c>
      <c r="K2" s="1">
        <v>850</v>
      </c>
      <c r="L2" s="1">
        <v>1100</v>
      </c>
      <c r="M2" s="1">
        <v>1200</v>
      </c>
      <c r="N2" s="1">
        <v>1200</v>
      </c>
      <c r="O2" s="1">
        <v>1200</v>
      </c>
      <c r="P2" s="1">
        <v>1400</v>
      </c>
      <c r="Q2" s="1">
        <f>I3</f>
        <v>1.4</v>
      </c>
    </row>
    <row r="3" spans="1:17" x14ac:dyDescent="0.25">
      <c r="A3" s="3" t="s">
        <v>6</v>
      </c>
      <c r="B3" s="1">
        <v>300</v>
      </c>
      <c r="C3" s="1">
        <v>300</v>
      </c>
      <c r="D3" s="1">
        <v>700</v>
      </c>
      <c r="E3" s="1">
        <v>1000</v>
      </c>
      <c r="F3" s="1">
        <v>1200</v>
      </c>
      <c r="G3" s="1">
        <v>1500</v>
      </c>
      <c r="H3" s="1">
        <v>1500</v>
      </c>
      <c r="I3" s="1">
        <v>1.4</v>
      </c>
    </row>
    <row r="4" spans="1:17" x14ac:dyDescent="0.25">
      <c r="A4" s="1" t="s">
        <v>14</v>
      </c>
      <c r="B4" s="1">
        <v>700</v>
      </c>
      <c r="C4" s="1">
        <v>1000</v>
      </c>
      <c r="D4" s="1">
        <v>1200</v>
      </c>
      <c r="E4" s="1">
        <v>1500</v>
      </c>
      <c r="F4" s="1">
        <v>2000</v>
      </c>
      <c r="G4" s="1">
        <v>2500</v>
      </c>
      <c r="H4" s="1">
        <v>3000</v>
      </c>
    </row>
    <row r="5" spans="1:17" x14ac:dyDescent="0.25">
      <c r="A5" s="1" t="s">
        <v>24</v>
      </c>
      <c r="B5" s="1">
        <v>0</v>
      </c>
      <c r="C5" s="1">
        <v>500</v>
      </c>
      <c r="D5" s="1">
        <v>900</v>
      </c>
      <c r="E5" s="1">
        <v>1200</v>
      </c>
      <c r="F5" s="1">
        <v>1500</v>
      </c>
      <c r="G5" s="1">
        <v>1550</v>
      </c>
      <c r="H5" s="1">
        <v>1600</v>
      </c>
    </row>
    <row r="9" spans="1:17" ht="30.6" customHeight="1" x14ac:dyDescent="0.25">
      <c r="A9" s="1" t="s">
        <v>2</v>
      </c>
      <c r="B9" s="1" t="s">
        <v>4</v>
      </c>
      <c r="C9" s="1" t="s">
        <v>3</v>
      </c>
      <c r="D9" s="1" t="s">
        <v>5</v>
      </c>
      <c r="E9" s="1" t="s">
        <v>23</v>
      </c>
      <c r="F9" s="1" t="s">
        <v>25</v>
      </c>
      <c r="H9" s="1" t="s">
        <v>27</v>
      </c>
      <c r="I9" s="1">
        <v>0.33</v>
      </c>
    </row>
    <row r="10" spans="1:17" x14ac:dyDescent="0.25">
      <c r="A10" s="1">
        <v>1</v>
      </c>
      <c r="B10" s="1">
        <f>5</f>
        <v>5</v>
      </c>
      <c r="C10" s="1">
        <f>A2+B2</f>
        <v>5000</v>
      </c>
      <c r="D10" s="1">
        <f>I2+J2</f>
        <v>5000</v>
      </c>
      <c r="E10" s="4"/>
      <c r="F10" s="1">
        <f>A2+B4</f>
        <v>5200</v>
      </c>
      <c r="H10" s="1">
        <f>D10*(1-I$9)</f>
        <v>3349.9999999999995</v>
      </c>
      <c r="I10" s="1">
        <f>D10-H10</f>
        <v>1650.0000000000005</v>
      </c>
    </row>
    <row r="11" spans="1:17" x14ac:dyDescent="0.25">
      <c r="A11" s="1">
        <v>2</v>
      </c>
      <c r="B11" s="1">
        <f>B10+1</f>
        <v>6</v>
      </c>
      <c r="C11" s="1">
        <f>C10+B$2</f>
        <v>5500</v>
      </c>
      <c r="D11" s="1">
        <f>D10+J$2</f>
        <v>5500</v>
      </c>
      <c r="F11" s="1">
        <f>F10+B$4</f>
        <v>5900</v>
      </c>
      <c r="H11" s="1">
        <f t="shared" ref="H11:H47" si="1">D11*(1-I$9)</f>
        <v>3684.9999999999995</v>
      </c>
      <c r="I11" s="1">
        <f t="shared" ref="I11:I47" si="2">D11-H11</f>
        <v>1815.0000000000005</v>
      </c>
    </row>
    <row r="12" spans="1:17" x14ac:dyDescent="0.25">
      <c r="A12" s="1">
        <v>3</v>
      </c>
      <c r="B12" s="1">
        <f t="shared" ref="B12:B25" si="3">B11+1</f>
        <v>7</v>
      </c>
      <c r="C12" s="1">
        <f t="shared" ref="C12:C14" si="4">C11+B$2</f>
        <v>6000</v>
      </c>
      <c r="D12" s="1">
        <f t="shared" ref="D12:D14" si="5">D11+J$2</f>
        <v>6000</v>
      </c>
      <c r="F12" s="1">
        <f t="shared" ref="F12:F14" si="6">F11+B$4</f>
        <v>6600</v>
      </c>
      <c r="H12" s="1">
        <f t="shared" si="1"/>
        <v>4019.9999999999995</v>
      </c>
      <c r="I12" s="1">
        <f t="shared" si="2"/>
        <v>1980.0000000000005</v>
      </c>
    </row>
    <row r="13" spans="1:17" x14ac:dyDescent="0.25">
      <c r="A13" s="1">
        <v>4</v>
      </c>
      <c r="B13" s="1">
        <f t="shared" si="3"/>
        <v>8</v>
      </c>
      <c r="C13" s="1">
        <f t="shared" si="4"/>
        <v>6500</v>
      </c>
      <c r="D13" s="1">
        <f t="shared" si="5"/>
        <v>6500</v>
      </c>
      <c r="F13" s="1">
        <f t="shared" si="6"/>
        <v>7300</v>
      </c>
      <c r="H13" s="1">
        <f t="shared" si="1"/>
        <v>4354.9999999999991</v>
      </c>
      <c r="I13" s="1">
        <f t="shared" si="2"/>
        <v>2145.0000000000009</v>
      </c>
    </row>
    <row r="14" spans="1:17" x14ac:dyDescent="0.25">
      <c r="A14" s="2">
        <v>5</v>
      </c>
      <c r="B14" s="1">
        <f t="shared" si="3"/>
        <v>9</v>
      </c>
      <c r="C14" s="1">
        <f t="shared" si="4"/>
        <v>7000</v>
      </c>
      <c r="D14" s="1">
        <f t="shared" si="5"/>
        <v>7000</v>
      </c>
      <c r="E14" s="1">
        <f>D14*$I$3</f>
        <v>9800</v>
      </c>
      <c r="F14" s="1">
        <f t="shared" si="6"/>
        <v>8000</v>
      </c>
      <c r="H14" s="1">
        <f t="shared" si="1"/>
        <v>4689.9999999999991</v>
      </c>
      <c r="I14" s="1">
        <f t="shared" si="2"/>
        <v>2310.0000000000009</v>
      </c>
    </row>
    <row r="15" spans="1:17" x14ac:dyDescent="0.25">
      <c r="A15" s="1">
        <v>6</v>
      </c>
      <c r="B15" s="1">
        <f t="shared" si="3"/>
        <v>10</v>
      </c>
      <c r="C15" s="1">
        <f>C14+C$2</f>
        <v>7650</v>
      </c>
      <c r="D15" s="1">
        <f>D14+K$2</f>
        <v>7850</v>
      </c>
      <c r="F15" s="1">
        <f>F14+C$4</f>
        <v>9000</v>
      </c>
      <c r="H15" s="1">
        <f t="shared" si="1"/>
        <v>5259.4999999999991</v>
      </c>
      <c r="I15" s="1">
        <f t="shared" si="2"/>
        <v>2590.5000000000009</v>
      </c>
    </row>
    <row r="16" spans="1:17" x14ac:dyDescent="0.25">
      <c r="A16" s="1">
        <v>7</v>
      </c>
      <c r="B16" s="1">
        <f t="shared" si="3"/>
        <v>11</v>
      </c>
      <c r="C16" s="1">
        <f t="shared" ref="C16:C19" si="7">C15+C$2</f>
        <v>8300</v>
      </c>
      <c r="D16" s="1">
        <f t="shared" ref="D16:D19" si="8">D15+K$2</f>
        <v>8700</v>
      </c>
      <c r="F16" s="1">
        <f t="shared" ref="F16:F19" si="9">F15+C$4</f>
        <v>10000</v>
      </c>
      <c r="H16" s="1">
        <f t="shared" si="1"/>
        <v>5828.9999999999991</v>
      </c>
      <c r="I16" s="1">
        <f t="shared" si="2"/>
        <v>2871.0000000000009</v>
      </c>
    </row>
    <row r="17" spans="1:9" x14ac:dyDescent="0.25">
      <c r="A17" s="1">
        <v>8</v>
      </c>
      <c r="B17" s="1">
        <f t="shared" si="3"/>
        <v>12</v>
      </c>
      <c r="C17" s="1">
        <f t="shared" si="7"/>
        <v>8950</v>
      </c>
      <c r="D17" s="1">
        <f t="shared" si="8"/>
        <v>9550</v>
      </c>
      <c r="F17" s="1">
        <f t="shared" si="9"/>
        <v>11000</v>
      </c>
      <c r="H17" s="1">
        <f t="shared" si="1"/>
        <v>6398.4999999999991</v>
      </c>
      <c r="I17" s="1">
        <f t="shared" si="2"/>
        <v>3151.5000000000009</v>
      </c>
    </row>
    <row r="18" spans="1:9" x14ac:dyDescent="0.25">
      <c r="A18" s="1">
        <v>9</v>
      </c>
      <c r="B18" s="1">
        <f t="shared" si="3"/>
        <v>13</v>
      </c>
      <c r="C18" s="1">
        <f t="shared" si="7"/>
        <v>9600</v>
      </c>
      <c r="D18" s="1">
        <f t="shared" si="8"/>
        <v>10400</v>
      </c>
      <c r="F18" s="1">
        <f t="shared" si="9"/>
        <v>12000</v>
      </c>
      <c r="H18" s="1">
        <f t="shared" si="1"/>
        <v>6967.9999999999991</v>
      </c>
      <c r="I18" s="1">
        <f t="shared" si="2"/>
        <v>3432.0000000000009</v>
      </c>
    </row>
    <row r="19" spans="1:9" x14ac:dyDescent="0.25">
      <c r="A19" s="2">
        <v>10</v>
      </c>
      <c r="B19" s="1">
        <f t="shared" si="3"/>
        <v>14</v>
      </c>
      <c r="C19" s="1">
        <f t="shared" si="7"/>
        <v>10250</v>
      </c>
      <c r="D19" s="1">
        <f t="shared" si="8"/>
        <v>11250</v>
      </c>
      <c r="E19" s="1">
        <f>D19*$I$3</f>
        <v>15749.999999999998</v>
      </c>
      <c r="F19" s="1">
        <f t="shared" si="9"/>
        <v>13000</v>
      </c>
      <c r="H19" s="1">
        <f t="shared" si="1"/>
        <v>7537.4999999999991</v>
      </c>
      <c r="I19" s="1">
        <f t="shared" si="2"/>
        <v>3712.5000000000009</v>
      </c>
    </row>
    <row r="20" spans="1:9" x14ac:dyDescent="0.25">
      <c r="A20" s="1">
        <v>11</v>
      </c>
      <c r="B20" s="1">
        <f t="shared" si="3"/>
        <v>15</v>
      </c>
      <c r="C20" s="1">
        <f>C19+D$2</f>
        <v>11200</v>
      </c>
      <c r="D20" s="1">
        <f>D19+L$2</f>
        <v>12350</v>
      </c>
      <c r="F20" s="1">
        <f>F19+D$4</f>
        <v>14200</v>
      </c>
      <c r="H20" s="1">
        <f t="shared" si="1"/>
        <v>8274.5</v>
      </c>
      <c r="I20" s="1">
        <f t="shared" si="2"/>
        <v>4075.5</v>
      </c>
    </row>
    <row r="21" spans="1:9" x14ac:dyDescent="0.25">
      <c r="A21" s="1">
        <v>12</v>
      </c>
      <c r="B21" s="1">
        <f>B20+1</f>
        <v>16</v>
      </c>
      <c r="C21" s="1">
        <f t="shared" ref="C21:C24" si="10">C20+D$2</f>
        <v>12150</v>
      </c>
      <c r="D21" s="1">
        <f t="shared" ref="D21:D24" si="11">D20+L$2</f>
        <v>13450</v>
      </c>
      <c r="F21" s="1">
        <f t="shared" ref="F21:F24" si="12">F20+D$4</f>
        <v>15400</v>
      </c>
      <c r="H21" s="1">
        <f t="shared" si="1"/>
        <v>9011.4999999999982</v>
      </c>
      <c r="I21" s="1">
        <f t="shared" si="2"/>
        <v>4438.5000000000018</v>
      </c>
    </row>
    <row r="22" spans="1:9" x14ac:dyDescent="0.25">
      <c r="A22" s="1">
        <v>13</v>
      </c>
      <c r="B22" s="1">
        <f t="shared" si="3"/>
        <v>17</v>
      </c>
      <c r="C22" s="1">
        <f t="shared" si="10"/>
        <v>13100</v>
      </c>
      <c r="D22" s="1">
        <f t="shared" si="11"/>
        <v>14550</v>
      </c>
      <c r="F22" s="1">
        <f t="shared" si="12"/>
        <v>16600</v>
      </c>
      <c r="H22" s="1">
        <f t="shared" si="1"/>
        <v>9748.4999999999982</v>
      </c>
      <c r="I22" s="1">
        <f t="shared" si="2"/>
        <v>4801.5000000000018</v>
      </c>
    </row>
    <row r="23" spans="1:9" x14ac:dyDescent="0.25">
      <c r="A23" s="1">
        <v>14</v>
      </c>
      <c r="B23" s="1">
        <f t="shared" si="3"/>
        <v>18</v>
      </c>
      <c r="C23" s="1">
        <f t="shared" si="10"/>
        <v>14050</v>
      </c>
      <c r="D23" s="1">
        <f t="shared" si="11"/>
        <v>15650</v>
      </c>
      <c r="F23" s="1">
        <f t="shared" si="12"/>
        <v>17800</v>
      </c>
      <c r="H23" s="1">
        <f t="shared" si="1"/>
        <v>10485.499999999998</v>
      </c>
      <c r="I23" s="1">
        <f t="shared" si="2"/>
        <v>5164.5000000000018</v>
      </c>
    </row>
    <row r="24" spans="1:9" x14ac:dyDescent="0.25">
      <c r="A24" s="2">
        <v>15</v>
      </c>
      <c r="B24" s="1">
        <f t="shared" si="3"/>
        <v>19</v>
      </c>
      <c r="C24" s="1">
        <f t="shared" si="10"/>
        <v>15000</v>
      </c>
      <c r="D24" s="1">
        <f t="shared" si="11"/>
        <v>16750</v>
      </c>
      <c r="E24" s="1">
        <f>D24*$I$3</f>
        <v>23450</v>
      </c>
      <c r="F24" s="1">
        <f t="shared" si="12"/>
        <v>19000</v>
      </c>
      <c r="H24" s="1">
        <f t="shared" si="1"/>
        <v>11222.499999999998</v>
      </c>
      <c r="I24" s="1">
        <f t="shared" si="2"/>
        <v>5527.5000000000018</v>
      </c>
    </row>
    <row r="25" spans="1:9" x14ac:dyDescent="0.25">
      <c r="A25" s="1">
        <v>16</v>
      </c>
      <c r="B25" s="1">
        <f t="shared" si="3"/>
        <v>20</v>
      </c>
      <c r="C25" s="1">
        <f>C24+E$2-B$2</f>
        <v>15750</v>
      </c>
      <c r="D25" s="1">
        <f>D24+M$2</f>
        <v>17950</v>
      </c>
      <c r="F25" s="1">
        <f>F24+E$4-B$4</f>
        <v>19800</v>
      </c>
      <c r="H25" s="1">
        <f t="shared" si="1"/>
        <v>12026.499999999998</v>
      </c>
      <c r="I25" s="1">
        <f t="shared" si="2"/>
        <v>5923.5000000000018</v>
      </c>
    </row>
    <row r="26" spans="1:9" x14ac:dyDescent="0.25">
      <c r="A26" s="1">
        <v>17</v>
      </c>
      <c r="B26" s="1">
        <f>20</f>
        <v>20</v>
      </c>
      <c r="C26" s="1">
        <f>C25+E$2-B$2</f>
        <v>16500</v>
      </c>
      <c r="D26" s="1">
        <f t="shared" ref="D26:D28" si="13">D25+M$2</f>
        <v>19150</v>
      </c>
      <c r="F26" s="1">
        <f t="shared" ref="F26:F29" si="14">F25+E$4-B$4</f>
        <v>20600</v>
      </c>
      <c r="H26" s="1">
        <f t="shared" si="1"/>
        <v>12830.499999999998</v>
      </c>
      <c r="I26" s="1">
        <f t="shared" si="2"/>
        <v>6319.5000000000018</v>
      </c>
    </row>
    <row r="27" spans="1:9" x14ac:dyDescent="0.25">
      <c r="A27" s="1">
        <v>18</v>
      </c>
      <c r="B27" s="1">
        <f>20</f>
        <v>20</v>
      </c>
      <c r="C27" s="1">
        <f t="shared" ref="C27:C28" si="15">C26+E$2-B$2</f>
        <v>17250</v>
      </c>
      <c r="D27" s="1">
        <f t="shared" si="13"/>
        <v>20350</v>
      </c>
      <c r="F27" s="1">
        <f t="shared" si="14"/>
        <v>21400</v>
      </c>
      <c r="H27" s="1">
        <f t="shared" si="1"/>
        <v>13634.499999999998</v>
      </c>
      <c r="I27" s="1">
        <f t="shared" si="2"/>
        <v>6715.5000000000018</v>
      </c>
    </row>
    <row r="28" spans="1:9" x14ac:dyDescent="0.25">
      <c r="A28" s="1">
        <v>19</v>
      </c>
      <c r="B28" s="1">
        <f>20</f>
        <v>20</v>
      </c>
      <c r="C28" s="1">
        <f t="shared" si="15"/>
        <v>18000</v>
      </c>
      <c r="D28" s="1">
        <f t="shared" si="13"/>
        <v>21550</v>
      </c>
      <c r="F28" s="1">
        <f t="shared" si="14"/>
        <v>22200</v>
      </c>
      <c r="H28" s="1">
        <f t="shared" si="1"/>
        <v>14438.499999999998</v>
      </c>
      <c r="I28" s="1">
        <f t="shared" si="2"/>
        <v>7111.5000000000018</v>
      </c>
    </row>
    <row r="29" spans="1:9" x14ac:dyDescent="0.25">
      <c r="A29" s="2">
        <v>20</v>
      </c>
      <c r="B29" s="1">
        <f>20</f>
        <v>20</v>
      </c>
      <c r="C29" s="1">
        <f>C28+E$2-B$2</f>
        <v>18750</v>
      </c>
      <c r="D29" s="1">
        <f>D28+M$2</f>
        <v>22750</v>
      </c>
      <c r="E29" s="1">
        <f>D29*$I$3</f>
        <v>31849.999999999996</v>
      </c>
      <c r="F29" s="1">
        <f t="shared" si="14"/>
        <v>23000</v>
      </c>
      <c r="H29" s="1">
        <f t="shared" si="1"/>
        <v>15242.499999999998</v>
      </c>
      <c r="I29" s="1">
        <f t="shared" si="2"/>
        <v>7507.5000000000018</v>
      </c>
    </row>
    <row r="30" spans="1:9" x14ac:dyDescent="0.25">
      <c r="A30" s="1">
        <v>21</v>
      </c>
      <c r="B30" s="1">
        <f>20</f>
        <v>20</v>
      </c>
      <c r="C30" s="1">
        <f>C29+F$2-C$2</f>
        <v>19700</v>
      </c>
      <c r="D30" s="1">
        <f t="shared" ref="D30:D33" si="16">D29+N$2</f>
        <v>23950</v>
      </c>
      <c r="F30" s="1">
        <f>F29+F$4-C$4</f>
        <v>24000</v>
      </c>
      <c r="H30" s="1">
        <f t="shared" si="1"/>
        <v>16046.499999999998</v>
      </c>
      <c r="I30" s="1">
        <f t="shared" si="2"/>
        <v>7903.5000000000018</v>
      </c>
    </row>
    <row r="31" spans="1:9" x14ac:dyDescent="0.25">
      <c r="A31" s="1">
        <v>22</v>
      </c>
      <c r="B31" s="1">
        <f>20</f>
        <v>20</v>
      </c>
      <c r="C31" s="1">
        <f t="shared" ref="C31:C34" si="17">C30+F$2-C$2</f>
        <v>20650</v>
      </c>
      <c r="D31" s="1">
        <f t="shared" si="16"/>
        <v>25150</v>
      </c>
      <c r="F31" s="1">
        <f t="shared" ref="F31:F34" si="18">F30+F$4-C$4</f>
        <v>25000</v>
      </c>
      <c r="H31" s="1">
        <f t="shared" si="1"/>
        <v>16850.5</v>
      </c>
      <c r="I31" s="1">
        <f t="shared" si="2"/>
        <v>8299.5</v>
      </c>
    </row>
    <row r="32" spans="1:9" x14ac:dyDescent="0.25">
      <c r="A32" s="1">
        <v>23</v>
      </c>
      <c r="B32" s="1">
        <f>20</f>
        <v>20</v>
      </c>
      <c r="C32" s="1">
        <f t="shared" si="17"/>
        <v>21600</v>
      </c>
      <c r="D32" s="1">
        <f t="shared" si="16"/>
        <v>26350</v>
      </c>
      <c r="F32" s="1">
        <f t="shared" si="18"/>
        <v>26000</v>
      </c>
      <c r="H32" s="1">
        <f t="shared" si="1"/>
        <v>17654.499999999996</v>
      </c>
      <c r="I32" s="1">
        <f t="shared" si="2"/>
        <v>8695.5000000000036</v>
      </c>
    </row>
    <row r="33" spans="1:9" x14ac:dyDescent="0.25">
      <c r="A33" s="1">
        <v>24</v>
      </c>
      <c r="B33" s="1">
        <f>20</f>
        <v>20</v>
      </c>
      <c r="C33" s="1">
        <f t="shared" si="17"/>
        <v>22550</v>
      </c>
      <c r="D33" s="1">
        <f t="shared" si="16"/>
        <v>27550</v>
      </c>
      <c r="F33" s="1">
        <f t="shared" si="18"/>
        <v>27000</v>
      </c>
      <c r="H33" s="1">
        <f t="shared" si="1"/>
        <v>18458.499999999996</v>
      </c>
      <c r="I33" s="1">
        <f t="shared" si="2"/>
        <v>9091.5000000000036</v>
      </c>
    </row>
    <row r="34" spans="1:9" x14ac:dyDescent="0.25">
      <c r="A34" s="2">
        <v>25</v>
      </c>
      <c r="B34" s="1">
        <f>20</f>
        <v>20</v>
      </c>
      <c r="C34" s="1">
        <f t="shared" si="17"/>
        <v>23500</v>
      </c>
      <c r="D34" s="1">
        <f>D33+N$2</f>
        <v>28750</v>
      </c>
      <c r="E34" s="1">
        <f>D34*$I$3</f>
        <v>40250</v>
      </c>
      <c r="F34" s="1">
        <f t="shared" si="18"/>
        <v>28000</v>
      </c>
      <c r="H34" s="1">
        <f t="shared" si="1"/>
        <v>19262.499999999996</v>
      </c>
      <c r="I34" s="1">
        <f t="shared" si="2"/>
        <v>9487.5000000000036</v>
      </c>
    </row>
    <row r="35" spans="1:9" x14ac:dyDescent="0.25">
      <c r="A35" s="1">
        <v>26</v>
      </c>
      <c r="B35" s="1">
        <f>20</f>
        <v>20</v>
      </c>
      <c r="C35" s="1">
        <f>C34+G$2-D$2</f>
        <v>24550</v>
      </c>
      <c r="D35" s="1">
        <f t="shared" ref="D35:D38" si="19">D34+O$2</f>
        <v>29950</v>
      </c>
      <c r="F35" s="1">
        <f>F34+G$4-D$4</f>
        <v>29300</v>
      </c>
      <c r="H35" s="1">
        <f t="shared" si="1"/>
        <v>20066.499999999996</v>
      </c>
      <c r="I35" s="1">
        <f t="shared" si="2"/>
        <v>9883.5000000000036</v>
      </c>
    </row>
    <row r="36" spans="1:9" x14ac:dyDescent="0.25">
      <c r="A36" s="1">
        <v>27</v>
      </c>
      <c r="B36" s="1">
        <f>20</f>
        <v>20</v>
      </c>
      <c r="C36" s="1">
        <f t="shared" ref="C36:C39" si="20">C35+G$2-D$2</f>
        <v>25600</v>
      </c>
      <c r="D36" s="1">
        <f t="shared" si="19"/>
        <v>31150</v>
      </c>
      <c r="F36" s="1">
        <f t="shared" ref="F36:F39" si="21">F35+G$4-D$4</f>
        <v>30600</v>
      </c>
      <c r="H36" s="1">
        <f t="shared" si="1"/>
        <v>20870.499999999996</v>
      </c>
      <c r="I36" s="1">
        <f t="shared" si="2"/>
        <v>10279.500000000004</v>
      </c>
    </row>
    <row r="37" spans="1:9" x14ac:dyDescent="0.25">
      <c r="A37" s="1">
        <v>28</v>
      </c>
      <c r="B37" s="1">
        <f>20</f>
        <v>20</v>
      </c>
      <c r="C37" s="1">
        <f t="shared" si="20"/>
        <v>26650</v>
      </c>
      <c r="D37" s="1">
        <f t="shared" si="19"/>
        <v>32350</v>
      </c>
      <c r="F37" s="1">
        <f t="shared" si="21"/>
        <v>31900</v>
      </c>
      <c r="H37" s="1">
        <f t="shared" si="1"/>
        <v>21674.499999999996</v>
      </c>
      <c r="I37" s="1">
        <f t="shared" si="2"/>
        <v>10675.500000000004</v>
      </c>
    </row>
    <row r="38" spans="1:9" x14ac:dyDescent="0.25">
      <c r="A38" s="1">
        <v>29</v>
      </c>
      <c r="B38" s="1">
        <f>20</f>
        <v>20</v>
      </c>
      <c r="C38" s="1">
        <f t="shared" si="20"/>
        <v>27700</v>
      </c>
      <c r="D38" s="1">
        <f t="shared" si="19"/>
        <v>33550</v>
      </c>
      <c r="F38" s="1">
        <f t="shared" si="21"/>
        <v>33200</v>
      </c>
      <c r="H38" s="1">
        <f t="shared" si="1"/>
        <v>22478.499999999996</v>
      </c>
      <c r="I38" s="1">
        <f t="shared" si="2"/>
        <v>11071.500000000004</v>
      </c>
    </row>
    <row r="39" spans="1:9" x14ac:dyDescent="0.25">
      <c r="A39" s="2">
        <v>30</v>
      </c>
      <c r="B39" s="1">
        <f>20</f>
        <v>20</v>
      </c>
      <c r="C39" s="1">
        <f t="shared" si="20"/>
        <v>28750</v>
      </c>
      <c r="D39" s="1">
        <f>D38+O$2</f>
        <v>34750</v>
      </c>
      <c r="E39" s="1">
        <f>D39*$I$3</f>
        <v>48650</v>
      </c>
      <c r="F39" s="1">
        <f t="shared" si="21"/>
        <v>34500</v>
      </c>
      <c r="H39" s="1">
        <f t="shared" si="1"/>
        <v>23282.499999999996</v>
      </c>
      <c r="I39" s="1">
        <f t="shared" si="2"/>
        <v>11467.500000000004</v>
      </c>
    </row>
    <row r="40" spans="1:9" x14ac:dyDescent="0.25">
      <c r="A40" s="1">
        <v>31</v>
      </c>
      <c r="B40" s="1">
        <f>20</f>
        <v>20</v>
      </c>
      <c r="C40" s="1">
        <f>C39+H$2-E$2</f>
        <v>30000</v>
      </c>
      <c r="D40" s="1">
        <f t="shared" ref="D40:D47" si="22">D39+P$2</f>
        <v>36150</v>
      </c>
      <c r="F40" s="1">
        <f>F39+H$4-E$4</f>
        <v>36000</v>
      </c>
      <c r="H40" s="1">
        <f t="shared" si="1"/>
        <v>24220.499999999996</v>
      </c>
      <c r="I40" s="1">
        <f t="shared" si="2"/>
        <v>11929.500000000004</v>
      </c>
    </row>
    <row r="41" spans="1:9" x14ac:dyDescent="0.25">
      <c r="A41" s="1">
        <v>32</v>
      </c>
      <c r="B41" s="1">
        <f>20</f>
        <v>20</v>
      </c>
      <c r="C41" s="1">
        <f t="shared" ref="C41:C44" si="23">C40+H$2-E$2</f>
        <v>31250</v>
      </c>
      <c r="D41" s="1">
        <f t="shared" si="22"/>
        <v>37550</v>
      </c>
      <c r="F41" s="1">
        <f t="shared" ref="F41:F44" si="24">F40+H$4-E$4</f>
        <v>37500</v>
      </c>
      <c r="H41" s="1">
        <f t="shared" si="1"/>
        <v>25158.499999999996</v>
      </c>
      <c r="I41" s="1">
        <f t="shared" si="2"/>
        <v>12391.500000000004</v>
      </c>
    </row>
    <row r="42" spans="1:9" x14ac:dyDescent="0.25">
      <c r="A42" s="1">
        <v>33</v>
      </c>
      <c r="B42" s="1">
        <f>20</f>
        <v>20</v>
      </c>
      <c r="C42" s="1">
        <f t="shared" si="23"/>
        <v>32500</v>
      </c>
      <c r="D42" s="1">
        <f t="shared" si="22"/>
        <v>38950</v>
      </c>
      <c r="F42" s="1">
        <f t="shared" si="24"/>
        <v>39000</v>
      </c>
      <c r="H42" s="1">
        <f t="shared" si="1"/>
        <v>26096.499999999996</v>
      </c>
      <c r="I42" s="1">
        <f t="shared" si="2"/>
        <v>12853.500000000004</v>
      </c>
    </row>
    <row r="43" spans="1:9" x14ac:dyDescent="0.25">
      <c r="A43" s="1">
        <v>34</v>
      </c>
      <c r="B43" s="1">
        <f>20</f>
        <v>20</v>
      </c>
      <c r="C43" s="1">
        <f t="shared" si="23"/>
        <v>33750</v>
      </c>
      <c r="D43" s="1">
        <f t="shared" si="22"/>
        <v>40350</v>
      </c>
      <c r="F43" s="1">
        <f t="shared" si="24"/>
        <v>40500</v>
      </c>
      <c r="H43" s="1">
        <f t="shared" si="1"/>
        <v>27034.499999999996</v>
      </c>
      <c r="I43" s="1">
        <f t="shared" si="2"/>
        <v>13315.500000000004</v>
      </c>
    </row>
    <row r="44" spans="1:9" x14ac:dyDescent="0.25">
      <c r="A44" s="1">
        <v>35</v>
      </c>
      <c r="B44" s="1">
        <f>20</f>
        <v>20</v>
      </c>
      <c r="C44" s="1">
        <f t="shared" si="23"/>
        <v>35000</v>
      </c>
      <c r="D44" s="1">
        <f t="shared" si="22"/>
        <v>41750</v>
      </c>
      <c r="F44" s="1">
        <f t="shared" si="24"/>
        <v>42000</v>
      </c>
      <c r="H44" s="1">
        <f t="shared" si="1"/>
        <v>27972.499999999996</v>
      </c>
      <c r="I44" s="1">
        <f t="shared" si="2"/>
        <v>13777.500000000004</v>
      </c>
    </row>
    <row r="45" spans="1:9" x14ac:dyDescent="0.25">
      <c r="A45" s="1">
        <v>36</v>
      </c>
      <c r="D45" s="1">
        <f t="shared" si="22"/>
        <v>43150</v>
      </c>
      <c r="H45" s="1">
        <f t="shared" si="1"/>
        <v>28910.499999999996</v>
      </c>
      <c r="I45" s="1">
        <f t="shared" si="2"/>
        <v>14239.500000000004</v>
      </c>
    </row>
    <row r="46" spans="1:9" x14ac:dyDescent="0.25">
      <c r="A46" s="1">
        <v>37</v>
      </c>
      <c r="D46" s="1">
        <f t="shared" si="22"/>
        <v>44550</v>
      </c>
      <c r="H46" s="1">
        <f t="shared" si="1"/>
        <v>29848.499999999996</v>
      </c>
      <c r="I46" s="1">
        <f t="shared" si="2"/>
        <v>14701.500000000004</v>
      </c>
    </row>
    <row r="47" spans="1:9" x14ac:dyDescent="0.25">
      <c r="A47" s="1">
        <v>38</v>
      </c>
      <c r="D47" s="1">
        <f t="shared" si="22"/>
        <v>45950</v>
      </c>
      <c r="H47" s="1">
        <f t="shared" si="1"/>
        <v>30786.499999999996</v>
      </c>
      <c r="I47" s="1">
        <f t="shared" si="2"/>
        <v>15163.500000000004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AdamMo</dc:creator>
  <cp:lastModifiedBy>中枢 郑</cp:lastModifiedBy>
  <dcterms:created xsi:type="dcterms:W3CDTF">2015-06-05T18:19:34Z</dcterms:created>
  <dcterms:modified xsi:type="dcterms:W3CDTF">2026-07-04T09:21:18Z</dcterms:modified>
</cp:coreProperties>
</file>